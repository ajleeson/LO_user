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eson/Documents/Research/LO_user/chapter_3/site_selection/"/>
    </mc:Choice>
  </mc:AlternateContent>
  <xr:revisionPtr revIDLastSave="0" documentId="13_ncr:1_{52E49A01-1485-7448-8543-B616EB0C4946}" xr6:coauthVersionLast="47" xr6:coauthVersionMax="47" xr10:uidLastSave="{00000000-0000-0000-0000-000000000000}"/>
  <bookViews>
    <workbookView xWindow="780" yWindow="1160" windowWidth="25480" windowHeight="17660" activeTab="3" xr2:uid="{AD5CE0B8-1F0D-0244-B426-3154393273EF}"/>
  </bookViews>
  <sheets>
    <sheet name="mixed layer depth (m)" sheetId="5" r:id="rId1"/>
    <sheet name="wind speed (m s)" sheetId="4" r:id="rId2"/>
    <sheet name="surf temp (C)" sheetId="3" r:id="rId3"/>
    <sheet name="CO2 capacity (mmol m3)" sheetId="2" r:id="rId4"/>
    <sheet name="Fs_30 (m)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5" l="1"/>
  <c r="J15" i="5"/>
  <c r="I15" i="5"/>
  <c r="H15" i="5"/>
  <c r="G15" i="5"/>
  <c r="F15" i="5"/>
  <c r="E15" i="5"/>
  <c r="D15" i="5"/>
  <c r="C15" i="5"/>
  <c r="B15" i="5"/>
  <c r="K14" i="5"/>
  <c r="J14" i="5"/>
  <c r="I14" i="5"/>
  <c r="H14" i="5"/>
  <c r="G14" i="5"/>
  <c r="F14" i="5"/>
  <c r="E14" i="5"/>
  <c r="D14" i="5"/>
  <c r="C14" i="5"/>
  <c r="B14" i="5"/>
  <c r="K15" i="4"/>
  <c r="J15" i="4"/>
  <c r="I15" i="4"/>
  <c r="H15" i="4"/>
  <c r="G15" i="4"/>
  <c r="F15" i="4"/>
  <c r="E15" i="4"/>
  <c r="D15" i="4"/>
  <c r="C15" i="4"/>
  <c r="B15" i="4"/>
  <c r="K14" i="4"/>
  <c r="J14" i="4"/>
  <c r="I14" i="4"/>
  <c r="H14" i="4"/>
  <c r="G14" i="4"/>
  <c r="F14" i="4"/>
  <c r="E14" i="4"/>
  <c r="D14" i="4"/>
  <c r="C14" i="4"/>
  <c r="B14" i="4"/>
  <c r="B14" i="3"/>
  <c r="K15" i="3"/>
  <c r="J15" i="3"/>
  <c r="I15" i="3"/>
  <c r="H15" i="3"/>
  <c r="G15" i="3"/>
  <c r="F15" i="3"/>
  <c r="E15" i="3"/>
  <c r="D15" i="3"/>
  <c r="C15" i="3"/>
  <c r="B15" i="3"/>
  <c r="K14" i="3"/>
  <c r="J14" i="3"/>
  <c r="I14" i="3"/>
  <c r="H14" i="3"/>
  <c r="G14" i="3"/>
  <c r="F14" i="3"/>
  <c r="E14" i="3"/>
  <c r="D14" i="3"/>
  <c r="C14" i="3"/>
  <c r="K15" i="1"/>
  <c r="J15" i="1"/>
  <c r="I15" i="1"/>
  <c r="H15" i="1"/>
  <c r="G15" i="1"/>
  <c r="F15" i="1"/>
  <c r="E15" i="1"/>
  <c r="D15" i="1"/>
  <c r="C15" i="1"/>
  <c r="B15" i="1"/>
  <c r="C15" i="2"/>
  <c r="D15" i="2"/>
  <c r="E15" i="2"/>
  <c r="F15" i="2"/>
  <c r="G15" i="2"/>
  <c r="H15" i="2"/>
  <c r="I15" i="2"/>
  <c r="J15" i="2"/>
  <c r="K15" i="2"/>
  <c r="B15" i="2"/>
  <c r="K14" i="2"/>
  <c r="J14" i="2"/>
  <c r="I14" i="2"/>
  <c r="H14" i="2"/>
  <c r="G14" i="2"/>
  <c r="F14" i="2"/>
  <c r="E14" i="2"/>
  <c r="D14" i="2"/>
  <c r="C14" i="2"/>
  <c r="B14" i="2"/>
  <c r="C14" i="1"/>
  <c r="D14" i="1"/>
  <c r="E14" i="1"/>
  <c r="F14" i="1"/>
  <c r="G14" i="1"/>
  <c r="H14" i="1"/>
  <c r="I14" i="1"/>
  <c r="J14" i="1"/>
  <c r="K14" i="1"/>
  <c r="B14" i="1"/>
</calcChain>
</file>

<file path=xl/sharedStrings.xml><?xml version="1.0" encoding="utf-8"?>
<sst xmlns="http://schemas.openxmlformats.org/spreadsheetml/2006/main" count="80" uniqueCount="19">
  <si>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</si>
  <si>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</si>
  <si>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</si>
  <si>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</si>
  <si>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</si>
  <si>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</si>
  <si>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</si>
  <si>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</si>
  <si>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</si>
  <si>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</si>
  <si>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</si>
  <si>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</si>
  <si>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</si>
  <si>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</si>
  <si>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RMSE values in m from monthly climatology</t>
  </si>
  <si>
    <t>RMSE values in mmol/m3 from monthly climatology</t>
  </si>
  <si>
    <t>Std. Dev</t>
  </si>
  <si>
    <t>RMSE values in degC from monthly climatology</t>
  </si>
  <si>
    <t>RMSE values in m/s from monthly climatology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</si>
</sst>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4" tint="0.3999755851924192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2" fillId="2" borderId="0" xfId="0" applyFont="1" applyFill="1"/>
    <xf numFmtId="0" fontId="4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7CA9-508D-6E4B-B8BE-8971797E2BF1}">
  <dimension ref="A1:L16"/>
  <sheetViews>
    <sheetView zoomScale="190" zoomScaleNormal="190" workbookViewId="0">
      <selection activeCell="L18" sqref="L18"/>
    </sheetView>
  </sheetViews>
  <sheetFormatPr baseColWidth="10" defaultRowHeight="16" customHeight="1" x14ac:dyDescent="0.2"/>
  <cols>
    <col min="1" max="1" width="10.83203125" style="2"/>
    <col min="2" max="11" width="5.1640625" style="2" bestFit="1" customWidth="1"/>
    <col min="12" max="16384" width="10.83203125" style="2"/>
  </cols>
  <sheetData>
    <row r="1" spans="1:12" ht="16" customHeight="1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2" ht="16" customHeight="1" x14ac:dyDescent="0.2">
      <c r="A2" s="2" t="s">
        <v>1</v>
      </c>
      <c r="B2" s="2">
        <v>11.8</v>
      </c>
      <c r="C2" s="2">
        <v>6.89</v>
      </c>
      <c r="D2" s="2">
        <v>8.6300000000000008</v>
      </c>
      <c r="E2" s="2">
        <v>4.82</v>
      </c>
      <c r="F2" s="2">
        <v>10.08</v>
      </c>
      <c r="G2" s="2">
        <v>8.64</v>
      </c>
      <c r="H2" s="2">
        <v>6.69</v>
      </c>
      <c r="I2" s="2">
        <v>13.39</v>
      </c>
      <c r="J2" s="2">
        <v>14.97</v>
      </c>
      <c r="K2" s="2">
        <v>7.85</v>
      </c>
    </row>
    <row r="3" spans="1:12" ht="16" customHeight="1" x14ac:dyDescent="0.2">
      <c r="A3" s="2" t="s">
        <v>2</v>
      </c>
      <c r="B3" s="2">
        <v>7.44</v>
      </c>
      <c r="C3" s="2">
        <v>14.61</v>
      </c>
      <c r="D3" s="2">
        <v>7.65</v>
      </c>
      <c r="E3" s="2">
        <v>8.44</v>
      </c>
      <c r="F3" s="2">
        <v>11.33</v>
      </c>
      <c r="G3" s="2">
        <v>8.0299999999999994</v>
      </c>
      <c r="H3" s="2">
        <v>9.23</v>
      </c>
      <c r="I3" s="2">
        <v>18.899999999999999</v>
      </c>
      <c r="J3" s="2">
        <v>12.21</v>
      </c>
      <c r="K3" s="2">
        <v>9.7100000000000009</v>
      </c>
    </row>
    <row r="4" spans="1:12" ht="16" customHeight="1" x14ac:dyDescent="0.2">
      <c r="A4" s="2" t="s">
        <v>3</v>
      </c>
      <c r="B4" s="2">
        <v>9.1999999999999993</v>
      </c>
      <c r="C4" s="2">
        <v>21.43</v>
      </c>
      <c r="D4" s="2">
        <v>6.28</v>
      </c>
      <c r="E4" s="2">
        <v>11.31</v>
      </c>
      <c r="F4" s="2">
        <v>7.09</v>
      </c>
      <c r="G4" s="2">
        <v>11.71</v>
      </c>
      <c r="H4" s="2">
        <v>6.88</v>
      </c>
      <c r="I4" s="2">
        <v>7.87</v>
      </c>
      <c r="J4" s="2">
        <v>8.34</v>
      </c>
      <c r="K4" s="2">
        <v>9.5</v>
      </c>
    </row>
    <row r="5" spans="1:12" ht="16" customHeight="1" x14ac:dyDescent="0.2">
      <c r="A5" s="2" t="s">
        <v>4</v>
      </c>
      <c r="B5" s="2">
        <v>4.04</v>
      </c>
      <c r="C5" s="2">
        <v>7.99</v>
      </c>
      <c r="D5" s="2">
        <v>8.3699999999999992</v>
      </c>
      <c r="E5" s="2">
        <v>5.46</v>
      </c>
      <c r="F5" s="2">
        <v>3.74</v>
      </c>
      <c r="G5" s="2">
        <v>8.3699999999999992</v>
      </c>
      <c r="H5" s="2">
        <v>6.87</v>
      </c>
      <c r="I5" s="2">
        <v>6.41</v>
      </c>
      <c r="J5" s="2">
        <v>13.1</v>
      </c>
      <c r="K5" s="2">
        <v>4.74</v>
      </c>
    </row>
    <row r="6" spans="1:12" ht="16" customHeight="1" x14ac:dyDescent="0.2">
      <c r="A6" s="2" t="s">
        <v>5</v>
      </c>
      <c r="B6" s="2">
        <v>2.29</v>
      </c>
      <c r="C6" s="2">
        <v>2.17</v>
      </c>
      <c r="D6" s="2">
        <v>2.95</v>
      </c>
      <c r="E6" s="2">
        <v>3.8</v>
      </c>
      <c r="F6" s="2">
        <v>1.85</v>
      </c>
      <c r="G6" s="2">
        <v>1.63</v>
      </c>
      <c r="H6" s="2">
        <v>1.83</v>
      </c>
      <c r="I6" s="2">
        <v>7.71</v>
      </c>
      <c r="J6" s="2">
        <v>3.96</v>
      </c>
      <c r="K6" s="2">
        <v>4.79</v>
      </c>
    </row>
    <row r="7" spans="1:12" ht="16" customHeight="1" x14ac:dyDescent="0.2">
      <c r="A7" s="2" t="s">
        <v>6</v>
      </c>
      <c r="B7" s="2">
        <v>1.41</v>
      </c>
      <c r="C7" s="2">
        <v>1.1499999999999999</v>
      </c>
      <c r="D7" s="2">
        <v>1.91</v>
      </c>
      <c r="E7" s="2">
        <v>1.35</v>
      </c>
      <c r="F7" s="2">
        <v>1.17</v>
      </c>
      <c r="G7" s="2">
        <v>1.1399999999999999</v>
      </c>
      <c r="H7" s="2">
        <v>0.92</v>
      </c>
      <c r="I7" s="2">
        <v>1.21</v>
      </c>
      <c r="J7" s="2">
        <v>1.4</v>
      </c>
      <c r="K7" s="2">
        <v>2.14</v>
      </c>
    </row>
    <row r="8" spans="1:12" ht="16" customHeight="1" x14ac:dyDescent="0.2">
      <c r="A8" s="2" t="s">
        <v>7</v>
      </c>
      <c r="B8" s="2">
        <v>0.82</v>
      </c>
      <c r="C8" s="2">
        <v>1.57</v>
      </c>
      <c r="D8" s="2">
        <v>1.04</v>
      </c>
      <c r="E8" s="2">
        <v>1.02</v>
      </c>
      <c r="F8" s="2">
        <v>1.79</v>
      </c>
      <c r="G8" s="2">
        <v>1.07</v>
      </c>
      <c r="H8" s="2">
        <v>1.03</v>
      </c>
      <c r="I8" s="2">
        <v>1.97</v>
      </c>
      <c r="J8" s="2">
        <v>1.39</v>
      </c>
      <c r="K8" s="2">
        <v>1.43</v>
      </c>
    </row>
    <row r="9" spans="1:12" ht="16" customHeight="1" x14ac:dyDescent="0.2">
      <c r="A9" s="2" t="s">
        <v>8</v>
      </c>
      <c r="B9" s="2">
        <v>1.48</v>
      </c>
      <c r="C9" s="2">
        <v>2.0499999999999998</v>
      </c>
      <c r="D9" s="2">
        <v>0.96</v>
      </c>
      <c r="E9" s="2">
        <v>1.05</v>
      </c>
      <c r="F9" s="2">
        <v>0.88</v>
      </c>
      <c r="G9" s="2">
        <v>0.97</v>
      </c>
      <c r="H9" s="2">
        <v>1.1000000000000001</v>
      </c>
      <c r="I9" s="2">
        <v>1.54</v>
      </c>
      <c r="J9" s="2">
        <v>1.34</v>
      </c>
      <c r="K9" s="2">
        <v>1.31</v>
      </c>
    </row>
    <row r="10" spans="1:12" ht="16" customHeight="1" x14ac:dyDescent="0.2">
      <c r="A10" s="2" t="s">
        <v>9</v>
      </c>
      <c r="B10" s="2">
        <v>1.7</v>
      </c>
      <c r="C10" s="2">
        <v>1.68</v>
      </c>
      <c r="D10" s="2">
        <v>1.83</v>
      </c>
      <c r="E10" s="2">
        <v>2.2200000000000002</v>
      </c>
      <c r="F10" s="2">
        <v>1.24</v>
      </c>
      <c r="G10" s="2">
        <v>1.68</v>
      </c>
      <c r="H10" s="2">
        <v>1.1399999999999999</v>
      </c>
      <c r="I10" s="2">
        <v>2.13</v>
      </c>
      <c r="J10" s="2">
        <v>1.66</v>
      </c>
      <c r="K10" s="2">
        <v>1.73</v>
      </c>
    </row>
    <row r="11" spans="1:12" ht="16" customHeight="1" x14ac:dyDescent="0.2">
      <c r="A11" s="2" t="s">
        <v>10</v>
      </c>
      <c r="B11" s="2">
        <v>2.78</v>
      </c>
      <c r="C11" s="2">
        <v>7.31</v>
      </c>
      <c r="D11" s="2">
        <v>2.83</v>
      </c>
      <c r="E11" s="2">
        <v>2.6</v>
      </c>
      <c r="F11" s="2">
        <v>3.15</v>
      </c>
      <c r="G11" s="2">
        <v>2.89</v>
      </c>
      <c r="H11" s="2">
        <v>5.6</v>
      </c>
      <c r="I11" s="2">
        <v>6.23</v>
      </c>
      <c r="J11" s="2">
        <v>3.4</v>
      </c>
      <c r="K11" s="2">
        <v>2.5499999999999998</v>
      </c>
    </row>
    <row r="12" spans="1:12" ht="16" customHeight="1" x14ac:dyDescent="0.2">
      <c r="A12" s="2" t="s">
        <v>11</v>
      </c>
      <c r="B12" s="2">
        <v>5.29</v>
      </c>
      <c r="C12" s="2">
        <v>14.34</v>
      </c>
      <c r="D12" s="2">
        <v>5.74</v>
      </c>
      <c r="E12" s="2">
        <v>6.67</v>
      </c>
      <c r="F12" s="2">
        <v>10.09</v>
      </c>
      <c r="G12" s="2">
        <v>4.92</v>
      </c>
      <c r="H12" s="2">
        <v>7.72</v>
      </c>
      <c r="I12" s="2">
        <v>7.65</v>
      </c>
      <c r="J12" s="2">
        <v>5.34</v>
      </c>
      <c r="K12" s="2">
        <v>6.93</v>
      </c>
    </row>
    <row r="13" spans="1:12" ht="16" customHeight="1" x14ac:dyDescent="0.2">
      <c r="A13" s="2" t="s">
        <v>12</v>
      </c>
      <c r="B13" s="2">
        <v>6.27</v>
      </c>
      <c r="C13" s="2">
        <v>9.31</v>
      </c>
      <c r="D13" s="6">
        <v>9.83</v>
      </c>
      <c r="E13" s="6">
        <v>8.7200000000000006</v>
      </c>
      <c r="F13" s="6">
        <v>10.66</v>
      </c>
      <c r="G13" s="6">
        <v>6.31</v>
      </c>
      <c r="H13" s="6">
        <v>6.49</v>
      </c>
      <c r="I13" s="6">
        <v>8.0299999999999994</v>
      </c>
      <c r="J13" s="6">
        <v>5.75</v>
      </c>
      <c r="K13" s="6">
        <v>11.67</v>
      </c>
      <c r="L13" s="6"/>
    </row>
    <row r="14" spans="1:12" ht="16" customHeight="1" x14ac:dyDescent="0.2">
      <c r="A14" s="1" t="s">
        <v>13</v>
      </c>
      <c r="B14" s="4">
        <f>AVERAGE(B2:B13)</f>
        <v>4.543333333333333</v>
      </c>
      <c r="C14" s="3">
        <f t="shared" ref="C14:K14" si="0">AVERAGE(C2:C13)</f>
        <v>7.541666666666667</v>
      </c>
      <c r="D14" s="3">
        <f t="shared" si="0"/>
        <v>4.835</v>
      </c>
      <c r="E14" s="4">
        <f t="shared" si="0"/>
        <v>4.7883333333333331</v>
      </c>
      <c r="F14" s="3">
        <f t="shared" si="0"/>
        <v>5.2558333333333342</v>
      </c>
      <c r="G14" s="4">
        <f t="shared" si="0"/>
        <v>4.78</v>
      </c>
      <c r="H14" s="4">
        <f t="shared" si="0"/>
        <v>4.6250000000000009</v>
      </c>
      <c r="I14" s="3">
        <f t="shared" si="0"/>
        <v>6.9200000000000008</v>
      </c>
      <c r="J14" s="3">
        <f t="shared" si="0"/>
        <v>6.0716666666666663</v>
      </c>
      <c r="K14" s="3">
        <f t="shared" si="0"/>
        <v>5.3624999999999998</v>
      </c>
      <c r="L14" s="6"/>
    </row>
    <row r="15" spans="1:12" ht="16" customHeight="1" x14ac:dyDescent="0.2">
      <c r="A15" s="1" t="s">
        <v>16</v>
      </c>
      <c r="B15" s="4">
        <f>STDEV(B2:B13)</f>
        <v>3.5144256826383287</v>
      </c>
      <c r="C15" s="3">
        <f t="shared" ref="C15:K15" si="1">STDEV(C2:C13)</f>
        <v>6.4860505328860576</v>
      </c>
      <c r="D15" s="3">
        <f t="shared" si="1"/>
        <v>3.2649112475755691</v>
      </c>
      <c r="E15" s="4">
        <f t="shared" si="1"/>
        <v>3.4069069772324512</v>
      </c>
      <c r="F15" s="3">
        <f t="shared" si="1"/>
        <v>4.247130492961384</v>
      </c>
      <c r="G15" s="4">
        <f t="shared" si="1"/>
        <v>3.7339961532823343</v>
      </c>
      <c r="H15" s="4">
        <f t="shared" si="1"/>
        <v>3.1426262902228763</v>
      </c>
      <c r="I15" s="3">
        <f t="shared" si="1"/>
        <v>5.208421502284021</v>
      </c>
      <c r="J15" s="3">
        <f t="shared" si="1"/>
        <v>4.9472854509653406</v>
      </c>
      <c r="K15" s="3">
        <f t="shared" si="1"/>
        <v>3.6747445798684746</v>
      </c>
      <c r="L15" s="6"/>
    </row>
    <row r="16" spans="1:12" ht="16" customHeight="1" x14ac:dyDescent="0.2">
      <c r="A16" s="5" t="s">
        <v>14</v>
      </c>
    </row>
  </sheetData>
  <conditionalFormatting sqref="B2:K13">
    <cfRule type="colorScale" priority="1">
      <colorScale>
        <cfvo type="num" val="0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C5FB-12E8-B749-834E-AB512A2FFA53}">
  <dimension ref="A1:L16"/>
  <sheetViews>
    <sheetView zoomScale="190" zoomScaleNormal="190" workbookViewId="0">
      <selection activeCell="E18" sqref="E18"/>
    </sheetView>
  </sheetViews>
  <sheetFormatPr baseColWidth="10" defaultRowHeight="16" customHeight="1" x14ac:dyDescent="0.2"/>
  <cols>
    <col min="1" max="1" width="10.83203125" style="2"/>
    <col min="2" max="11" width="5.1640625" style="2" bestFit="1" customWidth="1"/>
    <col min="12" max="16384" width="10.83203125" style="2"/>
  </cols>
  <sheetData>
    <row r="1" spans="1:12" ht="16" customHeight="1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2" ht="16" customHeight="1" x14ac:dyDescent="0.2">
      <c r="A2" s="2" t="s">
        <v>1</v>
      </c>
      <c r="B2" s="2">
        <v>1.48</v>
      </c>
      <c r="C2" s="2">
        <v>0.67</v>
      </c>
      <c r="D2" s="2">
        <v>0.53</v>
      </c>
      <c r="E2" s="2">
        <v>0.55000000000000004</v>
      </c>
      <c r="F2" s="2">
        <v>0.3</v>
      </c>
      <c r="G2" s="2">
        <v>1.49</v>
      </c>
      <c r="H2" s="2">
        <v>0.67</v>
      </c>
      <c r="I2" s="2">
        <v>0.95</v>
      </c>
      <c r="J2" s="2">
        <v>0.36</v>
      </c>
      <c r="K2" s="2">
        <v>0.81</v>
      </c>
    </row>
    <row r="3" spans="1:12" ht="16" customHeight="1" x14ac:dyDescent="0.2">
      <c r="A3" s="2" t="s">
        <v>2</v>
      </c>
      <c r="B3" s="2">
        <v>0.85</v>
      </c>
      <c r="C3" s="2">
        <v>0.68</v>
      </c>
      <c r="D3" s="2">
        <v>0.57999999999999996</v>
      </c>
      <c r="E3" s="2">
        <v>0.68</v>
      </c>
      <c r="F3" s="2">
        <v>1.08</v>
      </c>
      <c r="G3" s="2">
        <v>0.42</v>
      </c>
      <c r="H3" s="2">
        <v>1.1399999999999999</v>
      </c>
      <c r="I3" s="2">
        <v>0.5</v>
      </c>
      <c r="J3" s="2">
        <v>1.1000000000000001</v>
      </c>
      <c r="K3" s="2">
        <v>0.46</v>
      </c>
    </row>
    <row r="4" spans="1:12" ht="16" customHeight="1" x14ac:dyDescent="0.2">
      <c r="A4" s="2" t="s">
        <v>3</v>
      </c>
      <c r="B4" s="2">
        <v>0.61</v>
      </c>
      <c r="C4" s="2">
        <v>1.39</v>
      </c>
      <c r="D4" s="2">
        <v>0.45</v>
      </c>
      <c r="E4" s="2">
        <v>1.17</v>
      </c>
      <c r="F4" s="2">
        <v>1.43</v>
      </c>
      <c r="G4" s="2">
        <v>0.69</v>
      </c>
      <c r="H4" s="2">
        <v>1.02</v>
      </c>
      <c r="I4" s="2">
        <v>0.35</v>
      </c>
      <c r="J4" s="2">
        <v>0.4</v>
      </c>
      <c r="K4" s="2">
        <v>0.49</v>
      </c>
    </row>
    <row r="5" spans="1:12" ht="16" customHeight="1" x14ac:dyDescent="0.2">
      <c r="A5" s="2" t="s">
        <v>4</v>
      </c>
      <c r="B5" s="2">
        <v>0.48</v>
      </c>
      <c r="C5" s="2">
        <v>1</v>
      </c>
      <c r="D5" s="2">
        <v>0.42</v>
      </c>
      <c r="E5" s="2">
        <v>0.56000000000000005</v>
      </c>
      <c r="F5" s="2">
        <v>0.54</v>
      </c>
      <c r="G5" s="2">
        <v>0.8</v>
      </c>
      <c r="H5" s="2">
        <v>0.71</v>
      </c>
      <c r="I5" s="2">
        <v>0.41</v>
      </c>
      <c r="J5" s="2">
        <v>0.99</v>
      </c>
      <c r="K5" s="2">
        <v>0.22</v>
      </c>
    </row>
    <row r="6" spans="1:12" ht="16" customHeight="1" x14ac:dyDescent="0.2">
      <c r="A6" s="2" t="s">
        <v>5</v>
      </c>
      <c r="B6" s="2">
        <v>0.64</v>
      </c>
      <c r="C6" s="2">
        <v>0.47</v>
      </c>
      <c r="D6" s="2">
        <v>0.37</v>
      </c>
      <c r="E6" s="2">
        <v>0.56000000000000005</v>
      </c>
      <c r="F6" s="2">
        <v>0.6</v>
      </c>
      <c r="G6" s="2">
        <v>0.25</v>
      </c>
      <c r="H6" s="2">
        <v>0.31</v>
      </c>
      <c r="I6" s="2">
        <v>0.48</v>
      </c>
      <c r="J6" s="2">
        <v>0.28000000000000003</v>
      </c>
      <c r="K6" s="2">
        <v>0.71</v>
      </c>
    </row>
    <row r="7" spans="1:12" ht="16" customHeight="1" x14ac:dyDescent="0.2">
      <c r="A7" s="2" t="s">
        <v>6</v>
      </c>
      <c r="B7" s="2">
        <v>0.76</v>
      </c>
      <c r="C7" s="2">
        <v>0.4</v>
      </c>
      <c r="D7" s="2">
        <v>0.39</v>
      </c>
      <c r="E7" s="2">
        <v>0.84</v>
      </c>
      <c r="F7" s="2">
        <v>0.4</v>
      </c>
      <c r="G7" s="2">
        <v>0.25</v>
      </c>
      <c r="H7" s="2">
        <v>0.33</v>
      </c>
      <c r="I7" s="2">
        <v>0.37</v>
      </c>
      <c r="J7" s="2">
        <v>0.5</v>
      </c>
      <c r="K7" s="2">
        <v>0.35</v>
      </c>
    </row>
    <row r="8" spans="1:12" ht="16" customHeight="1" x14ac:dyDescent="0.2">
      <c r="A8" s="2" t="s">
        <v>7</v>
      </c>
      <c r="B8" s="2">
        <v>0.46</v>
      </c>
      <c r="C8" s="2">
        <v>0.63</v>
      </c>
      <c r="D8" s="2">
        <v>0.52</v>
      </c>
      <c r="E8" s="2">
        <v>0.47</v>
      </c>
      <c r="F8" s="2">
        <v>1.03</v>
      </c>
      <c r="G8" s="2">
        <v>0.21</v>
      </c>
      <c r="H8" s="2">
        <v>0.49</v>
      </c>
      <c r="I8" s="2">
        <v>0.49</v>
      </c>
      <c r="J8" s="2">
        <v>0.52</v>
      </c>
      <c r="K8" s="2">
        <v>0.4</v>
      </c>
    </row>
    <row r="9" spans="1:12" ht="16" customHeight="1" x14ac:dyDescent="0.2">
      <c r="A9" s="2" t="s">
        <v>8</v>
      </c>
      <c r="B9" s="2">
        <v>0.68</v>
      </c>
      <c r="C9" s="2">
        <v>0.78</v>
      </c>
      <c r="D9" s="2">
        <v>0.37</v>
      </c>
      <c r="E9" s="2">
        <v>0.65</v>
      </c>
      <c r="F9" s="2">
        <v>0.46</v>
      </c>
      <c r="G9" s="2">
        <v>0.56000000000000005</v>
      </c>
      <c r="H9" s="2">
        <v>0.49</v>
      </c>
      <c r="I9" s="2">
        <v>0.5</v>
      </c>
      <c r="J9" s="2">
        <v>0.36</v>
      </c>
      <c r="K9" s="2">
        <v>0.75</v>
      </c>
    </row>
    <row r="10" spans="1:12" ht="16" customHeight="1" x14ac:dyDescent="0.2">
      <c r="A10" s="2" t="s">
        <v>9</v>
      </c>
      <c r="B10" s="2">
        <v>0.5</v>
      </c>
      <c r="C10" s="2">
        <v>0.3</v>
      </c>
      <c r="D10" s="2">
        <v>0.68</v>
      </c>
      <c r="E10" s="2">
        <v>0.39</v>
      </c>
      <c r="F10" s="2">
        <v>0.43</v>
      </c>
      <c r="G10" s="2">
        <v>0.33</v>
      </c>
      <c r="H10" s="2">
        <v>0.39</v>
      </c>
      <c r="I10" s="2">
        <v>0.42</v>
      </c>
      <c r="J10" s="2">
        <v>0.53</v>
      </c>
      <c r="K10" s="2">
        <v>0.54</v>
      </c>
    </row>
    <row r="11" spans="1:12" ht="16" customHeight="1" x14ac:dyDescent="0.2">
      <c r="A11" s="2" t="s">
        <v>10</v>
      </c>
      <c r="B11" s="2">
        <v>0.6</v>
      </c>
      <c r="C11" s="2">
        <v>1.06</v>
      </c>
      <c r="D11" s="2">
        <v>0.39</v>
      </c>
      <c r="E11" s="2">
        <v>0.83</v>
      </c>
      <c r="F11" s="2">
        <v>0.27</v>
      </c>
      <c r="G11" s="2">
        <v>0.55000000000000004</v>
      </c>
      <c r="H11" s="2">
        <v>1.31</v>
      </c>
      <c r="I11" s="2">
        <v>0.5</v>
      </c>
      <c r="J11" s="2">
        <v>0.31</v>
      </c>
      <c r="K11" s="2">
        <v>0.64</v>
      </c>
    </row>
    <row r="12" spans="1:12" ht="16" customHeight="1" x14ac:dyDescent="0.2">
      <c r="A12" s="2" t="s">
        <v>11</v>
      </c>
      <c r="B12" s="2">
        <v>0.56999999999999995</v>
      </c>
      <c r="C12" s="2">
        <v>1.27</v>
      </c>
      <c r="D12" s="2">
        <v>1.1599999999999999</v>
      </c>
      <c r="E12" s="2">
        <v>0.78</v>
      </c>
      <c r="F12" s="2">
        <v>1.27</v>
      </c>
      <c r="G12" s="2">
        <v>0.43</v>
      </c>
      <c r="H12" s="2">
        <v>0.52</v>
      </c>
      <c r="I12" s="2">
        <v>0.89</v>
      </c>
      <c r="J12" s="2">
        <v>0.69</v>
      </c>
      <c r="K12" s="2">
        <v>0.5</v>
      </c>
    </row>
    <row r="13" spans="1:12" ht="16" customHeight="1" x14ac:dyDescent="0.2">
      <c r="A13" s="2" t="s">
        <v>12</v>
      </c>
      <c r="B13" s="2">
        <v>1.3</v>
      </c>
      <c r="C13" s="2">
        <v>0.7</v>
      </c>
      <c r="D13" s="6">
        <v>1.52</v>
      </c>
      <c r="E13" s="6">
        <v>0.96</v>
      </c>
      <c r="F13" s="6">
        <v>0.99</v>
      </c>
      <c r="G13" s="6">
        <v>0.33</v>
      </c>
      <c r="H13" s="6">
        <v>0.64</v>
      </c>
      <c r="I13" s="6">
        <v>0.62</v>
      </c>
      <c r="J13" s="6">
        <v>0.46</v>
      </c>
      <c r="K13" s="6">
        <v>0.48</v>
      </c>
      <c r="L13" s="6"/>
    </row>
    <row r="14" spans="1:12" ht="16" customHeight="1" x14ac:dyDescent="0.2">
      <c r="A14" s="1" t="s">
        <v>13</v>
      </c>
      <c r="B14" s="3">
        <f>AVERAGE(B2:B13)</f>
        <v>0.74416666666666664</v>
      </c>
      <c r="C14" s="3">
        <f t="shared" ref="C14:K14" si="0">AVERAGE(C2:C13)</f>
        <v>0.77916666666666667</v>
      </c>
      <c r="D14" s="3">
        <f t="shared" si="0"/>
        <v>0.61499999999999988</v>
      </c>
      <c r="E14" s="3">
        <f t="shared" si="0"/>
        <v>0.70333333333333348</v>
      </c>
      <c r="F14" s="3">
        <f t="shared" si="0"/>
        <v>0.73333333333333339</v>
      </c>
      <c r="G14" s="4">
        <f t="shared" si="0"/>
        <v>0.52583333333333326</v>
      </c>
      <c r="H14" s="3">
        <f t="shared" si="0"/>
        <v>0.66833333333333333</v>
      </c>
      <c r="I14" s="4">
        <f t="shared" si="0"/>
        <v>0.53999999999999992</v>
      </c>
      <c r="J14" s="4">
        <f t="shared" si="0"/>
        <v>0.54166666666666674</v>
      </c>
      <c r="K14" s="4">
        <f t="shared" si="0"/>
        <v>0.52916666666666667</v>
      </c>
      <c r="L14" s="6"/>
    </row>
    <row r="15" spans="1:12" ht="16" customHeight="1" x14ac:dyDescent="0.2">
      <c r="A15" s="1" t="s">
        <v>16</v>
      </c>
      <c r="B15" s="3">
        <f>STDEV(B2:B13)</f>
        <v>0.32419013313832118</v>
      </c>
      <c r="C15" s="3">
        <f t="shared" ref="C15:K15" si="1">STDEV(C2:C13)</f>
        <v>0.33856537795751512</v>
      </c>
      <c r="D15" s="3">
        <f t="shared" si="1"/>
        <v>0.35983582114878199</v>
      </c>
      <c r="E15" s="3">
        <f t="shared" si="1"/>
        <v>0.22256085310164761</v>
      </c>
      <c r="F15" s="3">
        <f t="shared" si="1"/>
        <v>0.4025900990819169</v>
      </c>
      <c r="G15" s="4">
        <f t="shared" si="1"/>
        <v>0.35451524735342577</v>
      </c>
      <c r="H15" s="3">
        <f t="shared" si="1"/>
        <v>0.32562759915789297</v>
      </c>
      <c r="I15" s="4">
        <f t="shared" si="1"/>
        <v>0.19169103929358444</v>
      </c>
      <c r="J15" s="4">
        <f t="shared" si="1"/>
        <v>0.26145861251946911</v>
      </c>
      <c r="K15" s="4">
        <f t="shared" si="1"/>
        <v>0.17233468143192321</v>
      </c>
      <c r="L15" s="6"/>
    </row>
    <row r="16" spans="1:12" ht="16" customHeight="1" x14ac:dyDescent="0.2">
      <c r="A16" s="5" t="s">
        <v>18</v>
      </c>
    </row>
  </sheetData>
  <conditionalFormatting sqref="B2:K13">
    <cfRule type="colorScale" priority="1">
      <colorScale>
        <cfvo type="num" val="0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E192-4C27-C347-998B-6E13A4173676}">
  <dimension ref="A1:L16"/>
  <sheetViews>
    <sheetView zoomScale="190" zoomScaleNormal="190" workbookViewId="0">
      <selection activeCell="I12" sqref="I12"/>
    </sheetView>
  </sheetViews>
  <sheetFormatPr baseColWidth="10" defaultRowHeight="16" customHeight="1" x14ac:dyDescent="0.2"/>
  <cols>
    <col min="1" max="1" width="10.83203125" style="2"/>
    <col min="2" max="11" width="5.1640625" style="2" bestFit="1" customWidth="1"/>
    <col min="12" max="16384" width="10.83203125" style="2"/>
  </cols>
  <sheetData>
    <row r="1" spans="1:12" ht="16" customHeight="1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2" ht="16" customHeight="1" x14ac:dyDescent="0.2">
      <c r="A2" s="2" t="s">
        <v>1</v>
      </c>
      <c r="B2" s="2">
        <v>1.04</v>
      </c>
      <c r="C2" s="2">
        <v>0.43</v>
      </c>
      <c r="D2" s="2">
        <v>0.73</v>
      </c>
      <c r="E2" s="2">
        <v>0.26</v>
      </c>
      <c r="F2" s="2">
        <v>0.38</v>
      </c>
      <c r="G2" s="2">
        <v>0.37</v>
      </c>
      <c r="H2" s="2">
        <v>0.31</v>
      </c>
      <c r="I2" s="2">
        <v>0.86</v>
      </c>
      <c r="J2" s="2">
        <v>0.53</v>
      </c>
      <c r="K2" s="2">
        <v>0.35</v>
      </c>
    </row>
    <row r="3" spans="1:12" ht="16" customHeight="1" x14ac:dyDescent="0.2">
      <c r="A3" s="2" t="s">
        <v>2</v>
      </c>
      <c r="B3" s="2">
        <v>1.62</v>
      </c>
      <c r="C3" s="2">
        <v>1</v>
      </c>
      <c r="D3" s="2">
        <v>0.51</v>
      </c>
      <c r="E3" s="2">
        <v>0.3</v>
      </c>
      <c r="F3" s="2">
        <v>0.48</v>
      </c>
      <c r="G3" s="2">
        <v>0.33</v>
      </c>
      <c r="H3" s="2">
        <v>0.59</v>
      </c>
      <c r="I3" s="2">
        <v>0.95</v>
      </c>
      <c r="J3" s="2">
        <v>0.63</v>
      </c>
      <c r="K3" s="2">
        <v>0.66</v>
      </c>
    </row>
    <row r="4" spans="1:12" ht="16" customHeight="1" x14ac:dyDescent="0.2">
      <c r="A4" s="2" t="s">
        <v>3</v>
      </c>
      <c r="B4" s="2">
        <v>1.67</v>
      </c>
      <c r="C4" s="2">
        <v>1.3</v>
      </c>
      <c r="D4" s="2">
        <v>0.24</v>
      </c>
      <c r="E4" s="2">
        <v>0.34</v>
      </c>
      <c r="F4" s="2">
        <v>0.35</v>
      </c>
      <c r="G4" s="2">
        <v>0.5</v>
      </c>
      <c r="H4" s="2">
        <v>0.62</v>
      </c>
      <c r="I4" s="2">
        <v>0.71</v>
      </c>
      <c r="J4" s="2">
        <v>0.99</v>
      </c>
      <c r="K4" s="2">
        <v>0.56999999999999995</v>
      </c>
    </row>
    <row r="5" spans="1:12" ht="16" customHeight="1" x14ac:dyDescent="0.2">
      <c r="A5" s="2" t="s">
        <v>4</v>
      </c>
      <c r="B5" s="2">
        <v>1.31</v>
      </c>
      <c r="C5" s="2">
        <v>1.64</v>
      </c>
      <c r="D5" s="2">
        <v>0.23</v>
      </c>
      <c r="E5" s="2">
        <v>0.21</v>
      </c>
      <c r="F5" s="2">
        <v>0.39</v>
      </c>
      <c r="G5" s="2">
        <v>0.28999999999999998</v>
      </c>
      <c r="H5" s="2">
        <v>0.64</v>
      </c>
      <c r="I5" s="2">
        <v>1.06</v>
      </c>
      <c r="J5" s="2">
        <v>1.2</v>
      </c>
      <c r="K5" s="2">
        <v>0.15</v>
      </c>
    </row>
    <row r="6" spans="1:12" ht="16" customHeight="1" x14ac:dyDescent="0.2">
      <c r="A6" s="2" t="s">
        <v>5</v>
      </c>
      <c r="B6" s="2">
        <v>1.06</v>
      </c>
      <c r="C6" s="2">
        <v>0.9</v>
      </c>
      <c r="D6" s="2">
        <v>0.25</v>
      </c>
      <c r="E6" s="2">
        <v>0.63</v>
      </c>
      <c r="F6" s="2">
        <v>0.35</v>
      </c>
      <c r="G6" s="2">
        <v>0.45</v>
      </c>
      <c r="H6" s="2">
        <v>0.77</v>
      </c>
      <c r="I6" s="2">
        <v>1.41</v>
      </c>
      <c r="J6" s="2">
        <v>0.28999999999999998</v>
      </c>
      <c r="K6" s="2">
        <v>0.89</v>
      </c>
    </row>
    <row r="7" spans="1:12" ht="16" customHeight="1" x14ac:dyDescent="0.2">
      <c r="A7" s="2" t="s">
        <v>6</v>
      </c>
      <c r="B7" s="2">
        <v>0.91</v>
      </c>
      <c r="C7" s="2">
        <v>0.71</v>
      </c>
      <c r="D7" s="2">
        <v>0.48</v>
      </c>
      <c r="E7" s="2">
        <v>0.44</v>
      </c>
      <c r="F7" s="2">
        <v>0.36</v>
      </c>
      <c r="G7" s="2">
        <v>0.28000000000000003</v>
      </c>
      <c r="H7" s="2">
        <v>0.4</v>
      </c>
      <c r="I7" s="2">
        <v>0.91</v>
      </c>
      <c r="J7" s="2">
        <v>0.82</v>
      </c>
      <c r="K7" s="2">
        <v>0.93</v>
      </c>
    </row>
    <row r="8" spans="1:12" ht="16" customHeight="1" x14ac:dyDescent="0.2">
      <c r="A8" s="2" t="s">
        <v>7</v>
      </c>
      <c r="B8" s="2">
        <v>1.06</v>
      </c>
      <c r="C8" s="2">
        <v>0.31</v>
      </c>
      <c r="D8" s="2">
        <v>0.5</v>
      </c>
      <c r="E8" s="2">
        <v>0.35</v>
      </c>
      <c r="F8" s="2">
        <v>1.1200000000000001</v>
      </c>
      <c r="G8" s="2">
        <v>0.8</v>
      </c>
      <c r="H8" s="2">
        <v>0.42</v>
      </c>
      <c r="I8" s="2">
        <v>0.36</v>
      </c>
      <c r="J8" s="2">
        <v>0.4</v>
      </c>
      <c r="K8" s="2">
        <v>0.9</v>
      </c>
    </row>
    <row r="9" spans="1:12" ht="16" customHeight="1" x14ac:dyDescent="0.2">
      <c r="A9" s="2" t="s">
        <v>8</v>
      </c>
      <c r="B9" s="2">
        <v>0.47</v>
      </c>
      <c r="C9" s="2">
        <v>1.29</v>
      </c>
      <c r="D9" s="2">
        <v>0.51</v>
      </c>
      <c r="E9" s="2">
        <v>0.42</v>
      </c>
      <c r="F9" s="2">
        <v>0.99</v>
      </c>
      <c r="G9" s="2">
        <v>0.52</v>
      </c>
      <c r="H9" s="2">
        <v>0.76</v>
      </c>
      <c r="I9" s="2">
        <v>0.66</v>
      </c>
      <c r="J9" s="2">
        <v>0.75</v>
      </c>
      <c r="K9" s="2">
        <v>0.68</v>
      </c>
    </row>
    <row r="10" spans="1:12" ht="16" customHeight="1" x14ac:dyDescent="0.2">
      <c r="A10" s="2" t="s">
        <v>9</v>
      </c>
      <c r="B10" s="2">
        <v>0.55000000000000004</v>
      </c>
      <c r="C10" s="2">
        <v>0.52</v>
      </c>
      <c r="D10" s="2">
        <v>0.6</v>
      </c>
      <c r="E10" s="2">
        <v>0.55000000000000004</v>
      </c>
      <c r="F10" s="2">
        <v>1.37</v>
      </c>
      <c r="G10" s="2">
        <v>0.44</v>
      </c>
      <c r="H10" s="2">
        <v>0.97</v>
      </c>
      <c r="I10" s="2">
        <v>0.55000000000000004</v>
      </c>
      <c r="J10" s="2">
        <v>0.39</v>
      </c>
      <c r="K10" s="2">
        <v>0.4</v>
      </c>
    </row>
    <row r="11" spans="1:12" ht="16" customHeight="1" x14ac:dyDescent="0.2">
      <c r="A11" s="2" t="s">
        <v>10</v>
      </c>
      <c r="B11" s="2">
        <v>1.24</v>
      </c>
      <c r="C11" s="2">
        <v>0.52</v>
      </c>
      <c r="D11" s="2">
        <v>0.59</v>
      </c>
      <c r="E11" s="2">
        <v>0.28999999999999998</v>
      </c>
      <c r="F11" s="2">
        <v>0.64</v>
      </c>
      <c r="G11" s="2">
        <v>0.49</v>
      </c>
      <c r="H11" s="2">
        <v>0.82</v>
      </c>
      <c r="I11" s="2">
        <v>0.62</v>
      </c>
      <c r="J11" s="2">
        <v>0.62</v>
      </c>
      <c r="K11" s="2">
        <v>0.59</v>
      </c>
    </row>
    <row r="12" spans="1:12" ht="16" customHeight="1" x14ac:dyDescent="0.2">
      <c r="A12" s="2" t="s">
        <v>11</v>
      </c>
      <c r="B12" s="2">
        <v>1.2</v>
      </c>
      <c r="C12" s="2">
        <v>1.21</v>
      </c>
      <c r="D12" s="6">
        <v>0.28999999999999998</v>
      </c>
      <c r="E12" s="6">
        <v>0.56999999999999995</v>
      </c>
      <c r="F12" s="6">
        <v>0.71</v>
      </c>
      <c r="G12" s="6">
        <v>0.85</v>
      </c>
      <c r="H12" s="6">
        <v>0.42</v>
      </c>
      <c r="I12" s="6">
        <v>0.96</v>
      </c>
      <c r="J12" s="6">
        <v>0.34</v>
      </c>
      <c r="K12" s="6">
        <v>0.36</v>
      </c>
      <c r="L12" s="6"/>
    </row>
    <row r="13" spans="1:12" ht="16" customHeight="1" x14ac:dyDescent="0.2">
      <c r="A13" s="2" t="s">
        <v>12</v>
      </c>
      <c r="B13" s="2">
        <v>0.86</v>
      </c>
      <c r="C13" s="2">
        <v>0.44</v>
      </c>
      <c r="D13" s="6">
        <v>0.28000000000000003</v>
      </c>
      <c r="E13" s="6">
        <v>0.65</v>
      </c>
      <c r="F13" s="6">
        <v>0.39</v>
      </c>
      <c r="G13" s="6">
        <v>0.52</v>
      </c>
      <c r="H13" s="6">
        <v>0.45</v>
      </c>
      <c r="I13" s="6">
        <v>1.06</v>
      </c>
      <c r="J13" s="6">
        <v>0.6</v>
      </c>
      <c r="K13" s="6">
        <v>0.21</v>
      </c>
      <c r="L13" s="6"/>
    </row>
    <row r="14" spans="1:12" ht="16" customHeight="1" x14ac:dyDescent="0.2">
      <c r="A14" s="1" t="s">
        <v>13</v>
      </c>
      <c r="B14" s="3">
        <f>AVERAGE(B2:B13)</f>
        <v>1.0825000000000002</v>
      </c>
      <c r="C14" s="3">
        <f t="shared" ref="C14:K14" si="0">AVERAGE(C2:C13)</f>
        <v>0.85583333333333311</v>
      </c>
      <c r="D14" s="4">
        <f t="shared" si="0"/>
        <v>0.43416666666666665</v>
      </c>
      <c r="E14" s="4">
        <f t="shared" si="0"/>
        <v>0.41750000000000004</v>
      </c>
      <c r="F14" s="3">
        <f t="shared" si="0"/>
        <v>0.62749999999999995</v>
      </c>
      <c r="G14" s="4">
        <f t="shared" si="0"/>
        <v>0.48666666666666664</v>
      </c>
      <c r="H14" s="3">
        <f t="shared" si="0"/>
        <v>0.59750000000000003</v>
      </c>
      <c r="I14" s="3">
        <f t="shared" si="0"/>
        <v>0.84250000000000014</v>
      </c>
      <c r="J14" s="3">
        <f t="shared" si="0"/>
        <v>0.63</v>
      </c>
      <c r="K14" s="3">
        <f t="shared" si="0"/>
        <v>0.5575</v>
      </c>
      <c r="L14" s="6"/>
    </row>
    <row r="15" spans="1:12" ht="16" customHeight="1" x14ac:dyDescent="0.2">
      <c r="A15" s="1" t="s">
        <v>16</v>
      </c>
      <c r="B15" s="3">
        <f>STDEV(B2:B13)</f>
        <v>0.36496886542179513</v>
      </c>
      <c r="C15" s="3">
        <f t="shared" ref="C15:K15" si="1">STDEV(C2:C13)</f>
        <v>0.43147649958829759</v>
      </c>
      <c r="D15" s="4">
        <f t="shared" si="1"/>
        <v>0.16924744302262579</v>
      </c>
      <c r="E15" s="4">
        <f t="shared" si="1"/>
        <v>0.15046141154341297</v>
      </c>
      <c r="F15" s="3">
        <f t="shared" si="1"/>
        <v>0.35079455266839343</v>
      </c>
      <c r="G15" s="4">
        <f t="shared" si="1"/>
        <v>0.1798147194568159</v>
      </c>
      <c r="H15" s="3">
        <f t="shared" si="1"/>
        <v>0.20298342968644684</v>
      </c>
      <c r="I15" s="3">
        <f t="shared" si="1"/>
        <v>0.28052305042220971</v>
      </c>
      <c r="J15" s="3">
        <f t="shared" si="1"/>
        <v>0.27406037821817825</v>
      </c>
      <c r="K15" s="3">
        <f t="shared" si="1"/>
        <v>0.2674840691942742</v>
      </c>
      <c r="L15" s="6"/>
    </row>
    <row r="16" spans="1:12" ht="16" customHeight="1" x14ac:dyDescent="0.2">
      <c r="A16" s="5" t="s">
        <v>17</v>
      </c>
    </row>
  </sheetData>
  <conditionalFormatting sqref="B2:K13">
    <cfRule type="colorScale" priority="1">
      <colorScale>
        <cfvo type="num" val="0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8865-A0AD-0F4B-96BC-5DEFE0799820}">
  <dimension ref="A1:K16"/>
  <sheetViews>
    <sheetView tabSelected="1" zoomScale="190" zoomScaleNormal="190" workbookViewId="0">
      <selection activeCell="C2" sqref="C2"/>
    </sheetView>
  </sheetViews>
  <sheetFormatPr baseColWidth="10" defaultRowHeight="15" x14ac:dyDescent="0.2"/>
  <cols>
    <col min="1" max="1" width="10.83203125" style="2"/>
    <col min="2" max="11" width="5.1640625" style="2" bestFit="1" customWidth="1"/>
    <col min="12" max="16384" width="10.83203125" style="2"/>
  </cols>
  <sheetData>
    <row r="1" spans="1:11" ht="16" customHeight="1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 ht="16" customHeight="1" x14ac:dyDescent="0.2">
      <c r="A2" s="2" t="s">
        <v>1</v>
      </c>
      <c r="B2" s="2">
        <v>2.2200000000000002</v>
      </c>
      <c r="C2" s="2">
        <v>1.1599999999999999</v>
      </c>
      <c r="D2" s="2">
        <v>1.9</v>
      </c>
      <c r="E2" s="2">
        <v>2.0499999999999998</v>
      </c>
      <c r="F2" s="2">
        <v>1.07</v>
      </c>
      <c r="G2" s="2">
        <v>2.31</v>
      </c>
      <c r="H2" s="2">
        <v>1.03</v>
      </c>
      <c r="I2" s="2">
        <v>2</v>
      </c>
      <c r="J2" s="2">
        <v>2.29</v>
      </c>
      <c r="K2" s="2">
        <v>1.33</v>
      </c>
    </row>
    <row r="3" spans="1:11" ht="16" customHeight="1" x14ac:dyDescent="0.2">
      <c r="A3" s="2" t="s">
        <v>2</v>
      </c>
      <c r="B3" s="2">
        <v>1.8</v>
      </c>
      <c r="C3" s="2">
        <v>2.27</v>
      </c>
      <c r="D3" s="2">
        <v>1.73</v>
      </c>
      <c r="E3" s="2">
        <v>2.4500000000000002</v>
      </c>
      <c r="F3" s="2">
        <v>2.0499999999999998</v>
      </c>
      <c r="G3" s="2">
        <v>1.22</v>
      </c>
      <c r="H3" s="2">
        <v>1.1399999999999999</v>
      </c>
      <c r="I3" s="2">
        <v>2.8</v>
      </c>
      <c r="J3" s="2">
        <v>1.84</v>
      </c>
      <c r="K3" s="2">
        <v>2.17</v>
      </c>
    </row>
    <row r="4" spans="1:11" ht="16" customHeight="1" x14ac:dyDescent="0.2">
      <c r="A4" s="2" t="s">
        <v>3</v>
      </c>
      <c r="B4" s="2">
        <v>1.65</v>
      </c>
      <c r="C4" s="2">
        <v>2.2200000000000002</v>
      </c>
      <c r="D4" s="2">
        <v>2.2400000000000002</v>
      </c>
      <c r="E4" s="2">
        <v>1.65</v>
      </c>
      <c r="F4" s="2">
        <v>1.84</v>
      </c>
      <c r="G4" s="2">
        <v>2.44</v>
      </c>
      <c r="H4" s="2">
        <v>1.25</v>
      </c>
      <c r="I4" s="2">
        <v>1.63</v>
      </c>
      <c r="J4" s="2">
        <v>1.2</v>
      </c>
      <c r="K4" s="2">
        <v>1.74</v>
      </c>
    </row>
    <row r="5" spans="1:11" ht="16" customHeight="1" x14ac:dyDescent="0.2">
      <c r="A5" s="2" t="s">
        <v>4</v>
      </c>
      <c r="B5" s="2">
        <v>1.1599999999999999</v>
      </c>
      <c r="C5" s="2">
        <v>1.98</v>
      </c>
      <c r="D5" s="2">
        <v>2.3199999999999998</v>
      </c>
      <c r="E5" s="2">
        <v>1.61</v>
      </c>
      <c r="F5" s="2">
        <v>1.37</v>
      </c>
      <c r="G5" s="2">
        <v>2.09</v>
      </c>
      <c r="H5" s="2">
        <v>3.03</v>
      </c>
      <c r="I5" s="2">
        <v>1.54</v>
      </c>
      <c r="J5" s="2">
        <v>2.41</v>
      </c>
      <c r="K5" s="2">
        <v>1.26</v>
      </c>
    </row>
    <row r="6" spans="1:11" ht="16" customHeight="1" x14ac:dyDescent="0.2">
      <c r="A6" s="2" t="s">
        <v>5</v>
      </c>
      <c r="B6" s="2">
        <v>2.29</v>
      </c>
      <c r="C6" s="2">
        <v>2.0499999999999998</v>
      </c>
      <c r="D6" s="2">
        <v>1.49</v>
      </c>
      <c r="E6" s="2">
        <v>1.64</v>
      </c>
      <c r="F6" s="2">
        <v>1.1499999999999999</v>
      </c>
      <c r="G6" s="2">
        <v>2.4300000000000002</v>
      </c>
      <c r="H6" s="2">
        <v>2.12</v>
      </c>
      <c r="I6" s="2">
        <v>3.47</v>
      </c>
      <c r="J6" s="2">
        <v>1.61</v>
      </c>
      <c r="K6" s="2">
        <v>2.38</v>
      </c>
    </row>
    <row r="7" spans="1:11" ht="16" customHeight="1" x14ac:dyDescent="0.2">
      <c r="A7" s="2" t="s">
        <v>6</v>
      </c>
      <c r="B7" s="2">
        <v>3.33</v>
      </c>
      <c r="C7" s="2">
        <v>1.26</v>
      </c>
      <c r="D7" s="2">
        <v>2.3199999999999998</v>
      </c>
      <c r="E7" s="2">
        <v>1.37</v>
      </c>
      <c r="F7" s="2">
        <v>3.29</v>
      </c>
      <c r="G7" s="2">
        <v>1.54</v>
      </c>
      <c r="H7" s="2">
        <v>2.13</v>
      </c>
      <c r="I7" s="2">
        <v>3.06</v>
      </c>
      <c r="J7" s="2">
        <v>2.27</v>
      </c>
      <c r="K7" s="2">
        <v>1.1299999999999999</v>
      </c>
    </row>
    <row r="8" spans="1:11" ht="16" customHeight="1" x14ac:dyDescent="0.2">
      <c r="A8" s="2" t="s">
        <v>7</v>
      </c>
      <c r="B8" s="2">
        <v>3.04</v>
      </c>
      <c r="C8" s="2">
        <v>1.68</v>
      </c>
      <c r="D8" s="2">
        <v>2.63</v>
      </c>
      <c r="E8" s="2">
        <v>3.15</v>
      </c>
      <c r="F8" s="2">
        <v>2.85</v>
      </c>
      <c r="G8" s="2">
        <v>1.52</v>
      </c>
      <c r="H8" s="2">
        <v>1.75</v>
      </c>
      <c r="I8" s="2">
        <v>2.2400000000000002</v>
      </c>
      <c r="J8" s="2">
        <v>1.51</v>
      </c>
      <c r="K8" s="2">
        <v>1.75</v>
      </c>
    </row>
    <row r="9" spans="1:11" ht="16" customHeight="1" x14ac:dyDescent="0.2">
      <c r="A9" s="2" t="s">
        <v>8</v>
      </c>
      <c r="B9" s="2">
        <v>3.13</v>
      </c>
      <c r="C9" s="2">
        <v>4.38</v>
      </c>
      <c r="D9" s="2">
        <v>2.63</v>
      </c>
      <c r="E9" s="2">
        <v>2.2599999999999998</v>
      </c>
      <c r="F9" s="2">
        <v>2.6</v>
      </c>
      <c r="G9" s="2">
        <v>1.73</v>
      </c>
      <c r="H9" s="2">
        <v>2.48</v>
      </c>
      <c r="I9" s="2">
        <v>2.65</v>
      </c>
      <c r="J9" s="2">
        <v>1.96</v>
      </c>
      <c r="K9" s="2">
        <v>4.63</v>
      </c>
    </row>
    <row r="10" spans="1:11" ht="16" customHeight="1" x14ac:dyDescent="0.2">
      <c r="A10" s="2" t="s">
        <v>9</v>
      </c>
      <c r="B10" s="2">
        <v>2.41</v>
      </c>
      <c r="C10" s="2">
        <v>1.58</v>
      </c>
      <c r="D10" s="2">
        <v>2.13</v>
      </c>
      <c r="E10" s="2">
        <v>2.87</v>
      </c>
      <c r="F10" s="2">
        <v>3.16</v>
      </c>
      <c r="G10" s="2">
        <v>1.78</v>
      </c>
      <c r="H10" s="2">
        <v>2.0299999999999998</v>
      </c>
      <c r="I10" s="2">
        <v>2.13</v>
      </c>
      <c r="J10" s="2">
        <v>1.73</v>
      </c>
      <c r="K10" s="2">
        <v>2.2400000000000002</v>
      </c>
    </row>
    <row r="11" spans="1:11" ht="16" customHeight="1" x14ac:dyDescent="0.2">
      <c r="A11" s="2" t="s">
        <v>10</v>
      </c>
      <c r="B11" s="2">
        <v>2.41</v>
      </c>
      <c r="C11" s="2">
        <v>3.77</v>
      </c>
      <c r="D11" s="2">
        <v>4.59</v>
      </c>
      <c r="E11" s="2">
        <v>3.76</v>
      </c>
      <c r="F11" s="2">
        <v>2.89</v>
      </c>
      <c r="G11" s="2">
        <v>2.62</v>
      </c>
      <c r="H11" s="2">
        <v>2.98</v>
      </c>
      <c r="I11" s="2">
        <v>3.04</v>
      </c>
      <c r="J11" s="2">
        <v>3.93</v>
      </c>
      <c r="K11" s="2">
        <v>1.76</v>
      </c>
    </row>
    <row r="12" spans="1:11" ht="16" customHeight="1" x14ac:dyDescent="0.2">
      <c r="A12" s="2" t="s">
        <v>11</v>
      </c>
      <c r="B12" s="2">
        <v>2.11</v>
      </c>
      <c r="C12" s="2">
        <v>4.8899999999999997</v>
      </c>
      <c r="D12" s="2">
        <v>2.61</v>
      </c>
      <c r="E12" s="2">
        <v>4.08</v>
      </c>
      <c r="F12" s="2">
        <v>6.44</v>
      </c>
      <c r="G12" s="2">
        <v>3.33</v>
      </c>
      <c r="H12" s="2">
        <v>3.59</v>
      </c>
      <c r="I12" s="2">
        <v>3.09</v>
      </c>
      <c r="J12" s="2">
        <v>2.65</v>
      </c>
      <c r="K12" s="2">
        <v>2.34</v>
      </c>
    </row>
    <row r="13" spans="1:11" ht="16" customHeight="1" x14ac:dyDescent="0.2">
      <c r="A13" s="2" t="s">
        <v>12</v>
      </c>
      <c r="B13" s="2">
        <v>2.19</v>
      </c>
      <c r="C13" s="2">
        <v>2.52</v>
      </c>
      <c r="D13" s="2">
        <v>1.87</v>
      </c>
      <c r="E13" s="2">
        <v>2.65</v>
      </c>
      <c r="F13" s="2">
        <v>4.4400000000000004</v>
      </c>
      <c r="G13" s="2">
        <v>1.72</v>
      </c>
      <c r="H13" s="2">
        <v>2.17</v>
      </c>
      <c r="I13" s="2">
        <v>2.85</v>
      </c>
      <c r="J13" s="2">
        <v>2.23</v>
      </c>
      <c r="K13" s="2">
        <v>1.83</v>
      </c>
    </row>
    <row r="14" spans="1:11" ht="16" customHeight="1" x14ac:dyDescent="0.2">
      <c r="A14" s="1" t="s">
        <v>13</v>
      </c>
      <c r="B14" s="1">
        <f>AVERAGE(B2:B13)</f>
        <v>2.311666666666667</v>
      </c>
      <c r="C14" s="1">
        <f t="shared" ref="C14:K14" si="0">AVERAGE(C2:C13)</f>
        <v>2.48</v>
      </c>
      <c r="D14" s="1">
        <f t="shared" si="0"/>
        <v>2.3716666666666666</v>
      </c>
      <c r="E14" s="3">
        <f t="shared" si="0"/>
        <v>2.4616666666666664</v>
      </c>
      <c r="F14" s="1">
        <f t="shared" si="0"/>
        <v>2.7624999999999997</v>
      </c>
      <c r="G14" s="4">
        <f t="shared" si="0"/>
        <v>2.0608333333333335</v>
      </c>
      <c r="H14" s="1">
        <f t="shared" si="0"/>
        <v>2.1416666666666671</v>
      </c>
      <c r="I14" s="1">
        <f t="shared" si="0"/>
        <v>2.5416666666666665</v>
      </c>
      <c r="J14" s="1">
        <f t="shared" si="0"/>
        <v>2.1358333333333333</v>
      </c>
      <c r="K14" s="1">
        <f t="shared" si="0"/>
        <v>2.0466666666666664</v>
      </c>
    </row>
    <row r="15" spans="1:11" ht="16" customHeight="1" x14ac:dyDescent="0.2">
      <c r="A15" s="1" t="s">
        <v>16</v>
      </c>
      <c r="B15" s="1">
        <f>STDEV(B2:B13)</f>
        <v>0.62861801283498564</v>
      </c>
      <c r="C15" s="1">
        <f t="shared" ref="C15:K15" si="1">STDEV(C2:C13)</f>
        <v>1.2177176863445662</v>
      </c>
      <c r="D15" s="1">
        <f t="shared" si="1"/>
        <v>0.78945128623198413</v>
      </c>
      <c r="E15" s="1">
        <f t="shared" si="1"/>
        <v>0.87604310119509288</v>
      </c>
      <c r="F15" s="1">
        <f t="shared" si="1"/>
        <v>1.5251534945106944</v>
      </c>
      <c r="G15" s="4">
        <f t="shared" si="1"/>
        <v>0.59096928597829512</v>
      </c>
      <c r="H15" s="1">
        <f t="shared" si="1"/>
        <v>0.79232492569575719</v>
      </c>
      <c r="I15" s="1">
        <f t="shared" si="1"/>
        <v>0.62094990770495351</v>
      </c>
      <c r="J15" s="1">
        <f t="shared" si="1"/>
        <v>0.70299952584147141</v>
      </c>
      <c r="K15" s="1">
        <f t="shared" si="1"/>
        <v>0.91489028982946619</v>
      </c>
    </row>
    <row r="16" spans="1:11" ht="16" customHeight="1" x14ac:dyDescent="0.2">
      <c r="A16" s="5" t="s">
        <v>15</v>
      </c>
    </row>
  </sheetData>
  <conditionalFormatting sqref="B2:K13">
    <cfRule type="colorScale" priority="1">
      <colorScale>
        <cfvo type="num" val="0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7F63-4FB4-C148-8A7D-E37C42C446E4}">
  <dimension ref="A1:K16"/>
  <sheetViews>
    <sheetView zoomScale="190" zoomScaleNormal="190" workbookViewId="0">
      <selection activeCell="G14" sqref="G14"/>
    </sheetView>
  </sheetViews>
  <sheetFormatPr baseColWidth="10" defaultRowHeight="16" customHeight="1" x14ac:dyDescent="0.2"/>
  <cols>
    <col min="1" max="1" width="10.83203125" style="2"/>
    <col min="2" max="11" width="5.1640625" style="2" bestFit="1" customWidth="1"/>
    <col min="12" max="16384" width="10.83203125" style="2"/>
  </cols>
  <sheetData>
    <row r="1" spans="1:11" ht="16" customHeight="1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 ht="16" customHeight="1" x14ac:dyDescent="0.2">
      <c r="A2" s="2" t="s">
        <v>1</v>
      </c>
      <c r="B2" s="2">
        <v>0.45</v>
      </c>
      <c r="C2" s="2">
        <v>0.14000000000000001</v>
      </c>
      <c r="D2" s="2">
        <v>0.25</v>
      </c>
      <c r="E2" s="2">
        <v>0.17</v>
      </c>
      <c r="F2" s="2">
        <v>0.18</v>
      </c>
      <c r="G2" s="2">
        <v>0.28000000000000003</v>
      </c>
      <c r="H2" s="2">
        <v>0.24</v>
      </c>
      <c r="I2" s="2">
        <v>0.36</v>
      </c>
      <c r="J2" s="2">
        <v>0.33</v>
      </c>
      <c r="K2" s="2">
        <v>0.24</v>
      </c>
    </row>
    <row r="3" spans="1:11" ht="16" customHeight="1" x14ac:dyDescent="0.2">
      <c r="A3" s="2" t="s">
        <v>2</v>
      </c>
      <c r="B3" s="2">
        <v>0.47</v>
      </c>
      <c r="C3" s="2">
        <v>0.31</v>
      </c>
      <c r="D3" s="2">
        <v>0.2</v>
      </c>
      <c r="E3" s="2">
        <v>0.16</v>
      </c>
      <c r="F3" s="2">
        <v>0.31</v>
      </c>
      <c r="G3" s="2">
        <v>0.24</v>
      </c>
      <c r="H3" s="2">
        <v>0.16</v>
      </c>
      <c r="I3" s="2">
        <v>0.23</v>
      </c>
      <c r="J3" s="2">
        <v>0.4</v>
      </c>
      <c r="K3" s="2">
        <v>0.19</v>
      </c>
    </row>
    <row r="4" spans="1:11" ht="16" customHeight="1" x14ac:dyDescent="0.2">
      <c r="A4" s="2" t="s">
        <v>3</v>
      </c>
      <c r="B4" s="2">
        <v>0.37</v>
      </c>
      <c r="C4" s="2">
        <v>0.45</v>
      </c>
      <c r="D4" s="2">
        <v>0.49</v>
      </c>
      <c r="E4" s="2">
        <v>0.18</v>
      </c>
      <c r="F4" s="2">
        <v>0.35</v>
      </c>
      <c r="G4" s="2">
        <v>0.21</v>
      </c>
      <c r="H4" s="2">
        <v>0.12</v>
      </c>
      <c r="I4" s="2">
        <v>0.11</v>
      </c>
      <c r="J4" s="2">
        <v>0.37</v>
      </c>
      <c r="K4" s="2">
        <v>0.12</v>
      </c>
    </row>
    <row r="5" spans="1:11" ht="16" customHeight="1" x14ac:dyDescent="0.2">
      <c r="A5" s="2" t="s">
        <v>4</v>
      </c>
      <c r="B5" s="2">
        <v>0.42</v>
      </c>
      <c r="C5" s="2">
        <v>0.46</v>
      </c>
      <c r="D5" s="2">
        <v>0.6</v>
      </c>
      <c r="E5" s="2">
        <v>0.2</v>
      </c>
      <c r="F5" s="2">
        <v>0.26</v>
      </c>
      <c r="G5" s="2">
        <v>0.28999999999999998</v>
      </c>
      <c r="H5" s="2">
        <v>0.27</v>
      </c>
      <c r="I5" s="2">
        <v>0.12</v>
      </c>
      <c r="J5" s="2">
        <v>0.34</v>
      </c>
      <c r="K5" s="2">
        <v>0.21</v>
      </c>
    </row>
    <row r="6" spans="1:11" ht="16" customHeight="1" x14ac:dyDescent="0.2">
      <c r="A6" s="2" t="s">
        <v>5</v>
      </c>
      <c r="B6" s="2">
        <v>0.27</v>
      </c>
      <c r="C6" s="2">
        <v>0.28999999999999998</v>
      </c>
      <c r="D6" s="2">
        <v>0.5</v>
      </c>
      <c r="E6" s="2">
        <v>0.27</v>
      </c>
      <c r="F6" s="2">
        <v>0.3</v>
      </c>
      <c r="G6" s="2">
        <v>0.15</v>
      </c>
      <c r="H6" s="2">
        <v>0.21</v>
      </c>
      <c r="I6" s="2">
        <v>0.28000000000000003</v>
      </c>
      <c r="J6" s="2">
        <v>0.19</v>
      </c>
      <c r="K6" s="2">
        <v>0.37</v>
      </c>
    </row>
    <row r="7" spans="1:11" ht="16" customHeight="1" x14ac:dyDescent="0.2">
      <c r="A7" s="2" t="s">
        <v>6</v>
      </c>
      <c r="B7" s="2">
        <v>0.31</v>
      </c>
      <c r="C7" s="2">
        <v>0.15</v>
      </c>
      <c r="D7" s="2">
        <v>0.49</v>
      </c>
      <c r="E7" s="2">
        <v>0.22</v>
      </c>
      <c r="F7" s="2">
        <v>0.28999999999999998</v>
      </c>
      <c r="G7" s="2">
        <v>0.19</v>
      </c>
      <c r="H7" s="2">
        <v>0.13</v>
      </c>
      <c r="I7" s="2">
        <v>0.37</v>
      </c>
      <c r="J7" s="2">
        <v>0.2</v>
      </c>
      <c r="K7" s="2">
        <v>0.38</v>
      </c>
    </row>
    <row r="8" spans="1:11" ht="16" customHeight="1" x14ac:dyDescent="0.2">
      <c r="A8" s="2" t="s">
        <v>7</v>
      </c>
      <c r="B8" s="2">
        <v>0.35</v>
      </c>
      <c r="C8" s="2">
        <v>0.12</v>
      </c>
      <c r="D8" s="2">
        <v>0.24</v>
      </c>
      <c r="E8" s="2">
        <v>0.09</v>
      </c>
      <c r="F8" s="2">
        <v>0.24</v>
      </c>
      <c r="G8" s="2">
        <v>0.37</v>
      </c>
      <c r="H8" s="2">
        <v>0.24</v>
      </c>
      <c r="I8" s="2">
        <v>0.56999999999999995</v>
      </c>
      <c r="J8" s="2">
        <v>0.33</v>
      </c>
      <c r="K8" s="2">
        <v>0.35</v>
      </c>
    </row>
    <row r="9" spans="1:11" ht="16" customHeight="1" x14ac:dyDescent="0.2">
      <c r="A9" s="2" t="s">
        <v>8</v>
      </c>
      <c r="B9" s="2">
        <v>0.27</v>
      </c>
      <c r="C9" s="2">
        <v>0.14000000000000001</v>
      </c>
      <c r="D9" s="2">
        <v>7.0000000000000007E-2</v>
      </c>
      <c r="E9" s="2">
        <v>0.08</v>
      </c>
      <c r="F9" s="2">
        <v>0.09</v>
      </c>
      <c r="G9" s="2">
        <v>0.28000000000000003</v>
      </c>
      <c r="H9" s="2">
        <v>0.13</v>
      </c>
      <c r="I9" s="2">
        <v>0.44</v>
      </c>
      <c r="J9" s="2">
        <v>0.19</v>
      </c>
      <c r="K9" s="2">
        <v>0.19</v>
      </c>
    </row>
    <row r="10" spans="1:11" ht="16" customHeight="1" x14ac:dyDescent="0.2">
      <c r="A10" s="2" t="s">
        <v>9</v>
      </c>
      <c r="B10" s="2">
        <v>0.1</v>
      </c>
      <c r="C10" s="2">
        <v>0.08</v>
      </c>
      <c r="D10" s="2">
        <v>0.06</v>
      </c>
      <c r="E10" s="2">
        <v>0.08</v>
      </c>
      <c r="F10" s="2">
        <v>0.09</v>
      </c>
      <c r="G10" s="2">
        <v>0.14000000000000001</v>
      </c>
      <c r="H10" s="2">
        <v>7.0000000000000007E-2</v>
      </c>
      <c r="I10" s="2">
        <v>0.22</v>
      </c>
      <c r="J10" s="2">
        <v>0.14000000000000001</v>
      </c>
      <c r="K10" s="2">
        <v>0.1</v>
      </c>
    </row>
    <row r="11" spans="1:11" ht="16" customHeight="1" x14ac:dyDescent="0.2">
      <c r="A11" s="2" t="s">
        <v>10</v>
      </c>
      <c r="B11" s="2">
        <v>0.09</v>
      </c>
      <c r="C11" s="2">
        <v>0.18</v>
      </c>
      <c r="D11" s="2">
        <v>0.09</v>
      </c>
      <c r="E11" s="2">
        <v>0.13</v>
      </c>
      <c r="F11" s="2">
        <v>7.0000000000000007E-2</v>
      </c>
      <c r="G11" s="2">
        <v>0.21</v>
      </c>
      <c r="H11" s="2">
        <v>0.23</v>
      </c>
      <c r="I11" s="2">
        <v>0.16</v>
      </c>
      <c r="J11" s="2">
        <v>0.12</v>
      </c>
      <c r="K11" s="2">
        <v>0.1</v>
      </c>
    </row>
    <row r="12" spans="1:11" ht="16" customHeight="1" x14ac:dyDescent="0.2">
      <c r="A12" s="2" t="s">
        <v>11</v>
      </c>
      <c r="B12" s="2">
        <v>0.13</v>
      </c>
      <c r="C12" s="2">
        <v>0.39</v>
      </c>
      <c r="D12" s="2">
        <v>0.14000000000000001</v>
      </c>
      <c r="E12" s="2">
        <v>0.16</v>
      </c>
      <c r="F12" s="2">
        <v>0.22</v>
      </c>
      <c r="G12" s="2">
        <v>0.14000000000000001</v>
      </c>
      <c r="H12" s="2">
        <v>0.37</v>
      </c>
      <c r="I12" s="2">
        <v>0.28000000000000003</v>
      </c>
      <c r="J12" s="2">
        <v>0.19</v>
      </c>
      <c r="K12" s="2">
        <v>0.09</v>
      </c>
    </row>
    <row r="13" spans="1:11" ht="16" customHeight="1" x14ac:dyDescent="0.2">
      <c r="A13" s="2" t="s">
        <v>12</v>
      </c>
      <c r="B13" s="2">
        <v>0.23</v>
      </c>
      <c r="C13" s="2">
        <v>0.41</v>
      </c>
      <c r="D13" s="2">
        <v>0.12</v>
      </c>
      <c r="E13" s="2">
        <v>0.2</v>
      </c>
      <c r="F13" s="2">
        <v>0.27</v>
      </c>
      <c r="G13" s="2">
        <v>0.16</v>
      </c>
      <c r="H13" s="2">
        <v>0.44</v>
      </c>
      <c r="I13" s="2">
        <v>0.39</v>
      </c>
      <c r="J13" s="2">
        <v>0.22</v>
      </c>
      <c r="K13" s="2">
        <v>0.11</v>
      </c>
    </row>
    <row r="14" spans="1:11" ht="16" customHeight="1" x14ac:dyDescent="0.2">
      <c r="A14" s="1" t="s">
        <v>13</v>
      </c>
      <c r="B14" s="3">
        <f>AVERAGE(B2:B13)</f>
        <v>0.28833333333333333</v>
      </c>
      <c r="C14" s="3">
        <f t="shared" ref="C14:K14" si="0">AVERAGE(C2:C13)</f>
        <v>0.26000000000000006</v>
      </c>
      <c r="D14" s="3">
        <f t="shared" si="0"/>
        <v>0.27083333333333337</v>
      </c>
      <c r="E14" s="4">
        <f t="shared" si="0"/>
        <v>0.16166666666666665</v>
      </c>
      <c r="F14" s="3">
        <f t="shared" si="0"/>
        <v>0.2225</v>
      </c>
      <c r="G14" s="3">
        <f t="shared" si="0"/>
        <v>0.22166666666666668</v>
      </c>
      <c r="H14" s="3">
        <f t="shared" si="0"/>
        <v>0.2175</v>
      </c>
      <c r="I14" s="3">
        <f t="shared" si="0"/>
        <v>0.29416666666666674</v>
      </c>
      <c r="J14" s="3">
        <f t="shared" si="0"/>
        <v>0.25166666666666671</v>
      </c>
      <c r="K14" s="3">
        <f t="shared" si="0"/>
        <v>0.20416666666666664</v>
      </c>
    </row>
    <row r="15" spans="1:11" ht="16" customHeight="1" x14ac:dyDescent="0.2">
      <c r="A15" s="1" t="s">
        <v>16</v>
      </c>
      <c r="B15" s="3">
        <f>STDEV(B2:B13)</f>
        <v>0.13189757274859032</v>
      </c>
      <c r="C15" s="3">
        <f t="shared" ref="C15:K15" si="1">STDEV(C2:C13)</f>
        <v>0.14084162607824294</v>
      </c>
      <c r="D15" s="3">
        <f t="shared" si="1"/>
        <v>0.19556251422421667</v>
      </c>
      <c r="E15" s="4">
        <f t="shared" si="1"/>
        <v>5.874959703278964E-2</v>
      </c>
      <c r="F15" s="3">
        <f t="shared" si="1"/>
        <v>9.4688484468329559E-2</v>
      </c>
      <c r="G15" s="4">
        <f t="shared" si="1"/>
        <v>7.2216005948484208E-2</v>
      </c>
      <c r="H15" s="3">
        <f t="shared" si="1"/>
        <v>0.10729102309309781</v>
      </c>
      <c r="I15" s="3">
        <f t="shared" si="1"/>
        <v>0.13780475868108291</v>
      </c>
      <c r="J15" s="3">
        <f t="shared" si="1"/>
        <v>9.5805990829320578E-2</v>
      </c>
      <c r="K15" s="3">
        <f t="shared" si="1"/>
        <v>0.10958254118851843</v>
      </c>
    </row>
    <row r="16" spans="1:11" ht="16" customHeight="1" x14ac:dyDescent="0.2">
      <c r="A16" s="5" t="s">
        <v>14</v>
      </c>
    </row>
  </sheetData>
  <phoneticPr fontId="1" type="noConversion"/>
  <conditionalFormatting sqref="B2:K13">
    <cfRule type="colorScale" priority="1">
      <colorScale>
        <cfvo type="num" val="0"/>
        <cfvo type="max"/>
        <color rgb="FFFCFCFF"/>
        <color rgb="FFF8696B"/>
      </colorScale>
    </cfRule>
  </conditionalFormatting>
  <pageMargins left="0.7" right="0.7" top="0.75" bottom="0.75" header="0.3" footer="0.3"/>
  <ignoredErrors>
    <ignoredError sqref="B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mixed layer depth (m)</vt:lpstr>
      <vt:lpstr>wind speed (m s)</vt:lpstr>
      <vt:lpstr>surf temp (C)</vt:lpstr>
      <vt:lpstr>CO2 capacity (mmol m3)</vt:lpstr>
      <vt:lpstr>Fs_30 (m)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Leeson</dc:creator>
  <cp:lastModifiedBy>Aurora Leeson</cp:lastModifiedBy>
  <dcterms:created xsi:type="dcterms:W3CDTF">2026-05-09T18:49:11Z</dcterms:created>
  <dcterms:modified xsi:type="dcterms:W3CDTF">2026-05-29T17:07:58Z</dcterms:modified>
</cp:coreProperties>
</file>